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C8D8FF53-E7BE-48DF-9B56-69890644E7EA}" xr6:coauthVersionLast="47" xr6:coauthVersionMax="47" xr10:uidLastSave="{00000000-0000-0000-0000-000000000000}"/>
  <bookViews>
    <workbookView xWindow="-120" yWindow="-120" windowWidth="29040" windowHeight="15720" xr2:uid="{20BE9EF6-9E57-4F1E-99BA-D65A9F214A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0" i="1" l="1"/>
  <c r="X5" i="1"/>
  <c r="W5" i="1"/>
  <c r="V5" i="1"/>
  <c r="U5" i="1"/>
  <c r="T5" i="1"/>
  <c r="S5" i="1"/>
  <c r="R5" i="1"/>
  <c r="F40" i="1"/>
</calcChain>
</file>

<file path=xl/sharedStrings.xml><?xml version="1.0" encoding="utf-8"?>
<sst xmlns="http://schemas.openxmlformats.org/spreadsheetml/2006/main" count="145" uniqueCount="110">
  <si>
    <t>Sprint backlog</t>
  </si>
  <si>
    <t>Sprint No.</t>
  </si>
  <si>
    <t>Product Backlog Items</t>
  </si>
  <si>
    <t>Sprint Tasks</t>
  </si>
  <si>
    <t>Task Description</t>
  </si>
  <si>
    <t>Volunteer</t>
  </si>
  <si>
    <t>Initial Estimate of Effort</t>
  </si>
  <si>
    <t>New Estimate of Effort Remaining at The End of Day</t>
  </si>
  <si>
    <t>Actual Effort</t>
  </si>
  <si>
    <t>As an admin, I want a log that complies to the related law.</t>
  </si>
  <si>
    <t>T01</t>
  </si>
  <si>
    <t>แก้ไขการกำหนดประเภทการเก็บข้อมูล Log</t>
  </si>
  <si>
    <t>T02</t>
  </si>
  <si>
    <t>แก้ไขการเก็บประเภทข้อมูลใน Database</t>
  </si>
  <si>
    <t>T03</t>
  </si>
  <si>
    <t>แก้ไข UI/UX interface</t>
  </si>
  <si>
    <t>T04</t>
  </si>
  <si>
    <t>Implement FrontEnd UX/UX</t>
  </si>
  <si>
    <t>T05</t>
  </si>
  <si>
    <t>แก้ไขการป้องกันการแก้ข้อมูล Log ฝั่ง Admin</t>
  </si>
  <si>
    <t>T06</t>
  </si>
  <si>
    <t>แก้ไขการดักจับข้อมูลด้วย Middlewares</t>
  </si>
  <si>
    <t>T07</t>
  </si>
  <si>
    <t>Implement BackEnd Database and API</t>
  </si>
  <si>
    <t>T08</t>
  </si>
  <si>
    <t>Unit Test</t>
  </si>
  <si>
    <t>T09</t>
  </si>
  <si>
    <t>API Test</t>
  </si>
  <si>
    <t>T10</t>
  </si>
  <si>
    <t>UAT Test</t>
  </si>
  <si>
    <t>T11</t>
  </si>
  <si>
    <t>Changelogs</t>
  </si>
  <si>
    <t>T12</t>
  </si>
  <si>
    <t>User manual</t>
  </si>
  <si>
    <t>T13</t>
  </si>
  <si>
    <t>Test Report</t>
  </si>
  <si>
    <t>As a passenger, I want to get a notification when the driver is about to pick me up so that I can get myself ready or respond to the driver.</t>
  </si>
  <si>
    <t>T14</t>
  </si>
  <si>
    <t>Database: design + implementation</t>
  </si>
  <si>
    <t>T15</t>
  </si>
  <si>
    <t>T16</t>
  </si>
  <si>
    <t>T17</t>
  </si>
  <si>
    <t>Backend: implementation Controller</t>
  </si>
  <si>
    <t>อรอาภา เหล่าชัย, เอกสิทธิ์ พินิจมนตรี</t>
  </si>
  <si>
    <t>T18</t>
  </si>
  <si>
    <t>Backend: implementation Services for Notification system</t>
  </si>
  <si>
    <t>T19</t>
  </si>
  <si>
    <t>Backend: API Design (Router)</t>
  </si>
  <si>
    <t>T20</t>
  </si>
  <si>
    <t>T21</t>
  </si>
  <si>
    <t>Change Log</t>
  </si>
  <si>
    <t>T22</t>
  </si>
  <si>
    <t>Unit Test Design and implement</t>
  </si>
  <si>
    <t>T23</t>
  </si>
  <si>
    <t>API Test Design and implement</t>
  </si>
  <si>
    <t>T24</t>
  </si>
  <si>
    <t>UAT Test Design and implement</t>
  </si>
  <si>
    <t>T25</t>
  </si>
  <si>
    <t>Test report</t>
  </si>
  <si>
    <t>As a user, I want my account and information to be removed from the system when I am no longer want to be apart of this community.</t>
  </si>
  <si>
    <t>T26</t>
  </si>
  <si>
    <t>แก้ไข Service เพื่อให้สามารถเลือกรับข้อมูลที่ถูกลบได้ได้ (backend)</t>
  </si>
  <si>
    <t>เอกสิทธิ์ พินิจมนตรี</t>
  </si>
  <si>
    <t>T27</t>
  </si>
  <si>
    <t>แก้ไข Controller เพื่อให้ทำงานถูกต้องตาม Service ที่ถูกแก้ไข (backend)</t>
  </si>
  <si>
    <t>T28</t>
  </si>
  <si>
    <t>เพิ่มหน้าการเลือกรับข้อมูลที่ถูกลบเพื่อให้สามารถเลือกข้อมูลที่ต้องการการ</t>
  </si>
  <si>
    <t>T29</t>
  </si>
  <si>
    <t>T30</t>
  </si>
  <si>
    <t>T31</t>
  </si>
  <si>
    <t>T32</t>
  </si>
  <si>
    <t>T33</t>
  </si>
  <si>
    <t>T34</t>
  </si>
  <si>
    <t>T35</t>
  </si>
  <si>
    <t>A-Dapt Blueprint</t>
  </si>
  <si>
    <t>T36</t>
  </si>
  <si>
    <t>Integration system and Deployment</t>
  </si>
  <si>
    <t>Volunteer List</t>
  </si>
  <si>
    <t>No.</t>
  </si>
  <si>
    <t>Name</t>
  </si>
  <si>
    <t>Student ID</t>
  </si>
  <si>
    <t>Github Username</t>
  </si>
  <si>
    <t>นายกฤตยชญ์ มัตกิจ</t>
  </si>
  <si>
    <t>663380007-9</t>
  </si>
  <si>
    <t>Kit09K</t>
  </si>
  <si>
    <t>นายสิทธิพรรธน์ ตันพิบูลย์</t>
  </si>
  <si>
    <t>663380027-3</t>
  </si>
  <si>
    <t>sittiphat07</t>
  </si>
  <si>
    <t>นายตะวัน อุตมาน</t>
  </si>
  <si>
    <t>663380210-2</t>
  </si>
  <si>
    <t>นายนิติธร คชรัตน์</t>
  </si>
  <si>
    <t>663380215-2</t>
  </si>
  <si>
    <t>nititon12</t>
  </si>
  <si>
    <t>นางสาวอรอาภา เหล่าชัย</t>
  </si>
  <si>
    <t>663380245-3</t>
  </si>
  <si>
    <t>onarpa</t>
  </si>
  <si>
    <t>นายเอกสิทธิ์ พินิจมนตรี</t>
  </si>
  <si>
    <t>663380249-5</t>
  </si>
  <si>
    <t>Ekkasit-Ph</t>
  </si>
  <si>
    <t>Total New Estimate of Effort Remaining at The End of Day</t>
  </si>
  <si>
    <t>o0Hadez0o + SuNKinG5</t>
  </si>
  <si>
    <t>อรอาภา เหล่าชัย</t>
  </si>
  <si>
    <t>กฤตยชญ์ มัตกิจ</t>
  </si>
  <si>
    <t>นิติธร คชรัตน์</t>
  </si>
  <si>
    <t>ตะวัน อุตมาน</t>
  </si>
  <si>
    <t>สิทธิพรรธน์ ตันพิบูลย์</t>
  </si>
  <si>
    <t>Frontend: เพิ่มปุ่มสำหรับส่ง notification จาก Driver สู่ Passenger และเชื่อม API</t>
  </si>
  <si>
    <t>Frontend: เพิ่มปุ่มสำหรับส่ง notification จาก Passenger สู่ Driver และเชื่อม API</t>
  </si>
  <si>
    <t>ทุกคน</t>
  </si>
  <si>
    <t>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</si>
</sst>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charset val="222"/>
      <scheme val="minor"/>
    </font>
    <font>
      <b/>
      <sz val="16"/>
      <color rgb="FF000000"/>
      <name val="TH Sarabun new"/>
      <charset val="222"/>
    </font>
    <font>
      <b/>
      <sz val="14"/>
      <color rgb="FF000000"/>
      <name val="TH Sarabun new"/>
      <charset val="222"/>
    </font>
    <font>
      <sz val="14"/>
      <color theme="1"/>
      <name val="TH Sarabun new"/>
      <charset val="222"/>
    </font>
    <font>
      <sz val="14"/>
      <color rgb="FF000000"/>
      <name val="TH Sarabun new"/>
      <charset val="222"/>
    </font>
    <font>
      <sz val="14"/>
      <color rgb="FF1F2328"/>
      <name val="TH Sarabun new"/>
      <charset val="22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3" fillId="0" borderId="0" xfId="0" applyFont="1"/>
    <xf numFmtId="0" fontId="4" fillId="0" borderId="10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4" fillId="0" borderId="3" xfId="0" applyFont="1" applyBorder="1"/>
    <xf numFmtId="0" fontId="5" fillId="0" borderId="3" xfId="0" applyFont="1" applyBorder="1"/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0" fontId="4" fillId="0" borderId="7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/>
    </xf>
    <xf numFmtId="0" fontId="4" fillId="0" borderId="18" xfId="0" applyFont="1" applyBorder="1"/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4" fillId="0" borderId="18" xfId="0" applyFont="1" applyBorder="1" applyAlignment="1">
      <alignment vertical="center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5" fillId="0" borderId="16" xfId="0" applyFont="1" applyBorder="1"/>
    <xf numFmtId="0" fontId="4" fillId="0" borderId="16" xfId="0" applyFont="1" applyBorder="1"/>
    <xf numFmtId="0" fontId="4" fillId="0" borderId="17" xfId="0" applyFont="1" applyBorder="1" applyAlignment="1">
      <alignment horizontal="center" vertical="center"/>
    </xf>
    <xf numFmtId="0" fontId="4" fillId="0" borderId="19" xfId="0" applyFont="1" applyBorder="1"/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4" fillId="0" borderId="1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 Down</a:t>
            </a:r>
            <a:r>
              <a:rPr lang="en-US" baseline="0"/>
              <a:t>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Sheet1!$R$5:$X$5</c:f>
              <c:numCache>
                <c:formatCode>General</c:formatCode>
                <c:ptCount val="7"/>
                <c:pt idx="0">
                  <c:v>81</c:v>
                </c:pt>
                <c:pt idx="1">
                  <c:v>79</c:v>
                </c:pt>
                <c:pt idx="2">
                  <c:v>79</c:v>
                </c:pt>
                <c:pt idx="3">
                  <c:v>71</c:v>
                </c:pt>
                <c:pt idx="4">
                  <c:v>55</c:v>
                </c:pt>
                <c:pt idx="5">
                  <c:v>25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7C-45AC-9809-BA648EA82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4474432"/>
        <c:axId val="234472032"/>
      </c:lineChart>
      <c:catAx>
        <c:axId val="2344744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34472032"/>
        <c:crosses val="autoZero"/>
        <c:auto val="1"/>
        <c:lblAlgn val="ctr"/>
        <c:lblOffset val="100"/>
        <c:noMultiLvlLbl val="0"/>
      </c:catAx>
      <c:valAx>
        <c:axId val="23447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3447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80962</xdr:colOff>
      <xdr:row>7</xdr:row>
      <xdr:rowOff>114300</xdr:rowOff>
    </xdr:from>
    <xdr:to>
      <xdr:col>23</xdr:col>
      <xdr:colOff>538162</xdr:colOff>
      <xdr:row>17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B911C6-DD98-233E-A1B9-2C9CA19BCD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962EB-B47B-41AD-B417-06052C4E5A6B}">
  <dimension ref="A1:Z49"/>
  <sheetViews>
    <sheetView tabSelected="1" zoomScale="85" zoomScaleNormal="85" workbookViewId="0">
      <selection activeCell="Y7" sqref="Y7"/>
    </sheetView>
  </sheetViews>
  <sheetFormatPr defaultRowHeight="16.5"/>
  <cols>
    <col min="1" max="1" width="9.25" bestFit="1" customWidth="1"/>
    <col min="2" max="2" width="24.25" customWidth="1"/>
    <col min="3" max="3" width="11.5" bestFit="1" customWidth="1"/>
    <col min="4" max="4" width="76.75" customWidth="1"/>
    <col min="5" max="5" width="19.875" customWidth="1"/>
    <col min="6" max="6" width="12.5" customWidth="1"/>
    <col min="7" max="13" width="6.375" customWidth="1"/>
    <col min="14" max="14" width="12.5" customWidth="1"/>
  </cols>
  <sheetData>
    <row r="1" spans="1:24" ht="26.25" thickBot="1">
      <c r="A1" s="59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1"/>
    </row>
    <row r="2" spans="1:24" ht="20.25">
      <c r="A2" s="24" t="s">
        <v>1</v>
      </c>
      <c r="B2" s="25" t="s">
        <v>2</v>
      </c>
      <c r="C2" s="25" t="s">
        <v>3</v>
      </c>
      <c r="D2" s="25" t="s">
        <v>4</v>
      </c>
      <c r="E2" s="25" t="s">
        <v>5</v>
      </c>
      <c r="F2" s="25" t="s">
        <v>6</v>
      </c>
      <c r="G2" s="25" t="s">
        <v>7</v>
      </c>
      <c r="H2" s="25"/>
      <c r="I2" s="25"/>
      <c r="J2" s="25"/>
      <c r="K2" s="25"/>
      <c r="L2" s="25"/>
      <c r="M2" s="25"/>
      <c r="N2" s="26" t="s">
        <v>8</v>
      </c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21" thickBot="1">
      <c r="A3" s="27"/>
      <c r="B3" s="35"/>
      <c r="C3" s="35"/>
      <c r="D3" s="35"/>
      <c r="E3" s="35"/>
      <c r="F3" s="35"/>
      <c r="G3" s="19">
        <v>1</v>
      </c>
      <c r="H3" s="19">
        <v>2</v>
      </c>
      <c r="I3" s="19">
        <v>3</v>
      </c>
      <c r="J3" s="19">
        <v>4</v>
      </c>
      <c r="K3" s="19">
        <v>5</v>
      </c>
      <c r="L3" s="19">
        <v>6</v>
      </c>
      <c r="M3" s="19">
        <v>7</v>
      </c>
      <c r="N3" s="36"/>
      <c r="O3" s="1"/>
      <c r="P3" s="1"/>
      <c r="Q3" s="1"/>
      <c r="R3" s="2" t="s">
        <v>99</v>
      </c>
      <c r="S3" s="3"/>
      <c r="T3" s="3"/>
      <c r="U3" s="3"/>
      <c r="V3" s="3"/>
      <c r="W3" s="3"/>
      <c r="X3" s="4"/>
    </row>
    <row r="4" spans="1:24" ht="36.75" customHeight="1">
      <c r="A4" s="34">
        <v>3</v>
      </c>
      <c r="B4" s="37" t="s">
        <v>9</v>
      </c>
      <c r="C4" s="38" t="s">
        <v>10</v>
      </c>
      <c r="D4" s="39" t="s">
        <v>11</v>
      </c>
      <c r="E4" s="38" t="s">
        <v>102</v>
      </c>
      <c r="F4" s="40">
        <v>2</v>
      </c>
      <c r="G4" s="40">
        <v>2</v>
      </c>
      <c r="H4" s="40">
        <v>2</v>
      </c>
      <c r="I4" s="40">
        <v>2</v>
      </c>
      <c r="J4" s="40">
        <v>0</v>
      </c>
      <c r="K4" s="40">
        <v>0</v>
      </c>
      <c r="L4" s="38">
        <v>0</v>
      </c>
      <c r="M4" s="38">
        <v>0</v>
      </c>
      <c r="N4" s="41">
        <v>2</v>
      </c>
      <c r="O4" s="1"/>
      <c r="P4" s="1"/>
      <c r="Q4" s="1"/>
      <c r="R4" s="7">
        <v>1</v>
      </c>
      <c r="S4" s="5">
        <v>2</v>
      </c>
      <c r="T4" s="5">
        <v>3</v>
      </c>
      <c r="U4" s="5">
        <v>4</v>
      </c>
      <c r="V4" s="5">
        <v>5</v>
      </c>
      <c r="W4" s="5">
        <v>6</v>
      </c>
      <c r="X4" s="5">
        <v>7</v>
      </c>
    </row>
    <row r="5" spans="1:24" ht="36.75" customHeight="1">
      <c r="A5" s="34"/>
      <c r="B5" s="28"/>
      <c r="C5" s="11" t="s">
        <v>12</v>
      </c>
      <c r="D5" s="8" t="s">
        <v>13</v>
      </c>
      <c r="E5" s="11" t="s">
        <v>102</v>
      </c>
      <c r="F5" s="9">
        <v>4</v>
      </c>
      <c r="G5" s="9">
        <v>4</v>
      </c>
      <c r="H5" s="9">
        <v>4</v>
      </c>
      <c r="I5" s="9">
        <v>4</v>
      </c>
      <c r="J5" s="9">
        <v>4</v>
      </c>
      <c r="K5" s="9">
        <v>4</v>
      </c>
      <c r="L5" s="11">
        <v>0</v>
      </c>
      <c r="M5" s="11">
        <v>0</v>
      </c>
      <c r="N5" s="29">
        <v>4</v>
      </c>
      <c r="O5" s="1"/>
      <c r="P5" s="1"/>
      <c r="Q5" s="1"/>
      <c r="R5" s="6">
        <f>SUM(G4:G39)</f>
        <v>81</v>
      </c>
      <c r="S5" s="6">
        <f>SUM(H4:H39)</f>
        <v>79</v>
      </c>
      <c r="T5" s="6">
        <f>SUM(I4:I39)</f>
        <v>79</v>
      </c>
      <c r="U5" s="6">
        <f>SUM(J4:J39)</f>
        <v>71</v>
      </c>
      <c r="V5" s="6">
        <f>SUM(K4:K39)</f>
        <v>55</v>
      </c>
      <c r="W5" s="6">
        <f>SUM(L4:L39)</f>
        <v>25</v>
      </c>
      <c r="X5" s="6">
        <f>SUM(M4:M39)</f>
        <v>0</v>
      </c>
    </row>
    <row r="6" spans="1:24" ht="36.75" customHeight="1">
      <c r="A6" s="34"/>
      <c r="B6" s="28"/>
      <c r="C6" s="11" t="s">
        <v>14</v>
      </c>
      <c r="D6" s="8" t="s">
        <v>15</v>
      </c>
      <c r="E6" s="11" t="s">
        <v>102</v>
      </c>
      <c r="F6" s="9">
        <v>3</v>
      </c>
      <c r="G6" s="9">
        <v>3</v>
      </c>
      <c r="H6" s="9">
        <v>3</v>
      </c>
      <c r="I6" s="9">
        <v>3</v>
      </c>
      <c r="J6" s="9">
        <v>3</v>
      </c>
      <c r="K6" s="9">
        <v>3</v>
      </c>
      <c r="L6" s="11">
        <v>0</v>
      </c>
      <c r="M6" s="11">
        <v>0</v>
      </c>
      <c r="N6" s="29">
        <v>3</v>
      </c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36.75" customHeight="1">
      <c r="A7" s="34"/>
      <c r="B7" s="28"/>
      <c r="C7" s="11" t="s">
        <v>16</v>
      </c>
      <c r="D7" s="8" t="s">
        <v>17</v>
      </c>
      <c r="E7" s="11" t="s">
        <v>102</v>
      </c>
      <c r="F7" s="9">
        <v>3</v>
      </c>
      <c r="G7" s="9">
        <v>3</v>
      </c>
      <c r="H7" s="9">
        <v>3</v>
      </c>
      <c r="I7" s="9">
        <v>3</v>
      </c>
      <c r="J7" s="9">
        <v>3</v>
      </c>
      <c r="K7" s="9">
        <v>3</v>
      </c>
      <c r="L7" s="11">
        <v>0</v>
      </c>
      <c r="M7" s="11">
        <v>0</v>
      </c>
      <c r="N7" s="29">
        <v>3</v>
      </c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36.75" customHeight="1">
      <c r="A8" s="34"/>
      <c r="B8" s="28"/>
      <c r="C8" s="11" t="s">
        <v>18</v>
      </c>
      <c r="D8" s="10" t="s">
        <v>19</v>
      </c>
      <c r="E8" s="11" t="s">
        <v>102</v>
      </c>
      <c r="F8" s="11">
        <v>6</v>
      </c>
      <c r="G8" s="11">
        <v>6</v>
      </c>
      <c r="H8" s="11">
        <v>6</v>
      </c>
      <c r="I8" s="11">
        <v>6</v>
      </c>
      <c r="J8" s="11">
        <v>6</v>
      </c>
      <c r="K8" s="11">
        <v>6</v>
      </c>
      <c r="L8" s="11">
        <v>0</v>
      </c>
      <c r="M8" s="11">
        <v>0</v>
      </c>
      <c r="N8" s="29">
        <v>8</v>
      </c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36.75" customHeight="1">
      <c r="A9" s="34"/>
      <c r="B9" s="28"/>
      <c r="C9" s="11" t="s">
        <v>20</v>
      </c>
      <c r="D9" s="10" t="s">
        <v>21</v>
      </c>
      <c r="E9" s="11" t="s">
        <v>102</v>
      </c>
      <c r="F9" s="11">
        <v>6</v>
      </c>
      <c r="G9" s="11">
        <v>6</v>
      </c>
      <c r="H9" s="11">
        <v>6</v>
      </c>
      <c r="I9" s="11">
        <v>6</v>
      </c>
      <c r="J9" s="11">
        <v>6</v>
      </c>
      <c r="K9" s="11">
        <v>6</v>
      </c>
      <c r="L9" s="11">
        <v>0</v>
      </c>
      <c r="M9" s="11">
        <v>0</v>
      </c>
      <c r="N9" s="29">
        <v>8</v>
      </c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36.75" customHeight="1">
      <c r="A10" s="34"/>
      <c r="B10" s="28"/>
      <c r="C10" s="11" t="s">
        <v>22</v>
      </c>
      <c r="D10" s="10" t="s">
        <v>23</v>
      </c>
      <c r="E10" s="11" t="s">
        <v>102</v>
      </c>
      <c r="F10" s="11">
        <v>4</v>
      </c>
      <c r="G10" s="11">
        <v>4</v>
      </c>
      <c r="H10" s="11">
        <v>4</v>
      </c>
      <c r="I10" s="11">
        <v>4</v>
      </c>
      <c r="J10" s="11">
        <v>4</v>
      </c>
      <c r="K10" s="11">
        <v>4</v>
      </c>
      <c r="L10" s="11">
        <v>0</v>
      </c>
      <c r="M10" s="11">
        <v>0</v>
      </c>
      <c r="N10" s="29">
        <v>4</v>
      </c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36.75" customHeight="1">
      <c r="A11" s="34"/>
      <c r="B11" s="28"/>
      <c r="C11" s="11" t="s">
        <v>24</v>
      </c>
      <c r="D11" s="8" t="s">
        <v>25</v>
      </c>
      <c r="E11" s="9" t="s">
        <v>104</v>
      </c>
      <c r="F11" s="11">
        <v>1</v>
      </c>
      <c r="G11" s="11">
        <v>1</v>
      </c>
      <c r="H11" s="11">
        <v>1</v>
      </c>
      <c r="I11" s="11">
        <v>1</v>
      </c>
      <c r="J11" s="11">
        <v>1</v>
      </c>
      <c r="K11" s="11">
        <v>1</v>
      </c>
      <c r="L11" s="11">
        <v>1</v>
      </c>
      <c r="M11" s="11">
        <v>0</v>
      </c>
      <c r="N11" s="29">
        <v>1</v>
      </c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36.75" customHeight="1">
      <c r="A12" s="34"/>
      <c r="B12" s="28"/>
      <c r="C12" s="11" t="s">
        <v>26</v>
      </c>
      <c r="D12" s="8" t="s">
        <v>27</v>
      </c>
      <c r="E12" s="11" t="s">
        <v>104</v>
      </c>
      <c r="F12" s="11">
        <v>1</v>
      </c>
      <c r="G12" s="11">
        <v>1</v>
      </c>
      <c r="H12" s="11">
        <v>1</v>
      </c>
      <c r="I12" s="11">
        <v>1</v>
      </c>
      <c r="J12" s="11">
        <v>1</v>
      </c>
      <c r="K12" s="11">
        <v>1</v>
      </c>
      <c r="L12" s="11">
        <v>1</v>
      </c>
      <c r="M12" s="11">
        <v>0</v>
      </c>
      <c r="N12" s="29">
        <v>1</v>
      </c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36.75" customHeight="1">
      <c r="A13" s="34"/>
      <c r="B13" s="28"/>
      <c r="C13" s="11" t="s">
        <v>28</v>
      </c>
      <c r="D13" s="8" t="s">
        <v>29</v>
      </c>
      <c r="E13" s="9" t="s">
        <v>104</v>
      </c>
      <c r="F13" s="11">
        <v>1</v>
      </c>
      <c r="G13" s="11">
        <v>1</v>
      </c>
      <c r="H13" s="11">
        <v>1</v>
      </c>
      <c r="I13" s="11">
        <v>1</v>
      </c>
      <c r="J13" s="11">
        <v>1</v>
      </c>
      <c r="K13" s="11">
        <v>1</v>
      </c>
      <c r="L13" s="11">
        <v>1</v>
      </c>
      <c r="M13" s="11">
        <v>0</v>
      </c>
      <c r="N13" s="29">
        <v>3</v>
      </c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36.75" customHeight="1">
      <c r="A14" s="34"/>
      <c r="B14" s="28"/>
      <c r="C14" s="11" t="s">
        <v>30</v>
      </c>
      <c r="D14" s="8" t="s">
        <v>31</v>
      </c>
      <c r="E14" s="11" t="s">
        <v>104</v>
      </c>
      <c r="F14" s="11">
        <v>1</v>
      </c>
      <c r="G14" s="11">
        <v>1</v>
      </c>
      <c r="H14" s="11">
        <v>1</v>
      </c>
      <c r="I14" s="11">
        <v>1</v>
      </c>
      <c r="J14" s="11">
        <v>1</v>
      </c>
      <c r="K14" s="11">
        <v>1</v>
      </c>
      <c r="L14" s="11">
        <v>1</v>
      </c>
      <c r="M14" s="11">
        <v>0</v>
      </c>
      <c r="N14" s="29">
        <v>1</v>
      </c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36.75" customHeight="1">
      <c r="A15" s="34"/>
      <c r="B15" s="28"/>
      <c r="C15" s="11" t="s">
        <v>32</v>
      </c>
      <c r="D15" s="8" t="s">
        <v>33</v>
      </c>
      <c r="E15" s="11" t="s">
        <v>102</v>
      </c>
      <c r="F15" s="11">
        <v>1</v>
      </c>
      <c r="G15" s="11">
        <v>1</v>
      </c>
      <c r="H15" s="11">
        <v>1</v>
      </c>
      <c r="I15" s="11">
        <v>1</v>
      </c>
      <c r="J15" s="11">
        <v>1</v>
      </c>
      <c r="K15" s="11">
        <v>1</v>
      </c>
      <c r="L15" s="11">
        <v>1</v>
      </c>
      <c r="M15" s="11">
        <v>0</v>
      </c>
      <c r="N15" s="29">
        <v>1</v>
      </c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36.75" customHeight="1" thickBot="1">
      <c r="A16" s="34"/>
      <c r="B16" s="30"/>
      <c r="C16" s="31" t="s">
        <v>34</v>
      </c>
      <c r="D16" s="42" t="s">
        <v>35</v>
      </c>
      <c r="E16" s="31" t="s">
        <v>104</v>
      </c>
      <c r="F16" s="31">
        <v>1</v>
      </c>
      <c r="G16" s="31">
        <v>1</v>
      </c>
      <c r="H16" s="31">
        <v>1</v>
      </c>
      <c r="I16" s="31">
        <v>1</v>
      </c>
      <c r="J16" s="31">
        <v>1</v>
      </c>
      <c r="K16" s="31">
        <v>1</v>
      </c>
      <c r="L16" s="31">
        <v>1</v>
      </c>
      <c r="M16" s="31">
        <v>0</v>
      </c>
      <c r="N16" s="33">
        <v>1</v>
      </c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6" ht="36.75" customHeight="1">
      <c r="A17" s="34"/>
      <c r="B17" s="43" t="s">
        <v>36</v>
      </c>
      <c r="C17" s="38" t="s">
        <v>37</v>
      </c>
      <c r="D17" s="62" t="s">
        <v>38</v>
      </c>
      <c r="E17" s="38" t="s">
        <v>62</v>
      </c>
      <c r="F17" s="40">
        <v>3</v>
      </c>
      <c r="G17" s="40">
        <v>3</v>
      </c>
      <c r="H17" s="40">
        <v>3</v>
      </c>
      <c r="I17" s="40">
        <v>3</v>
      </c>
      <c r="J17" s="40">
        <v>3</v>
      </c>
      <c r="K17" s="40">
        <v>0</v>
      </c>
      <c r="L17" s="40">
        <v>0</v>
      </c>
      <c r="M17" s="40">
        <v>0</v>
      </c>
      <c r="N17" s="41">
        <v>2</v>
      </c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6" ht="36.75" customHeight="1">
      <c r="A18" s="34"/>
      <c r="B18" s="44"/>
      <c r="C18" s="11" t="s">
        <v>39</v>
      </c>
      <c r="D18" s="8" t="s">
        <v>106</v>
      </c>
      <c r="E18" s="11" t="s">
        <v>103</v>
      </c>
      <c r="F18" s="9">
        <v>6</v>
      </c>
      <c r="G18" s="9">
        <v>6</v>
      </c>
      <c r="H18" s="9">
        <v>6</v>
      </c>
      <c r="I18" s="9">
        <v>6</v>
      </c>
      <c r="J18" s="23">
        <v>6</v>
      </c>
      <c r="K18" s="9">
        <v>0</v>
      </c>
      <c r="L18" s="9">
        <v>0</v>
      </c>
      <c r="M18" s="9">
        <v>0</v>
      </c>
      <c r="N18" s="29">
        <v>9</v>
      </c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6" ht="36.75" customHeight="1">
      <c r="A19" s="34"/>
      <c r="B19" s="44"/>
      <c r="C19" s="11" t="s">
        <v>40</v>
      </c>
      <c r="D19" s="8" t="s">
        <v>107</v>
      </c>
      <c r="E19" s="20" t="s">
        <v>105</v>
      </c>
      <c r="F19" s="9">
        <v>4</v>
      </c>
      <c r="G19" s="11">
        <v>4</v>
      </c>
      <c r="H19" s="11">
        <v>4</v>
      </c>
      <c r="I19" s="11">
        <v>4</v>
      </c>
      <c r="J19" s="11">
        <v>4</v>
      </c>
      <c r="K19" s="11">
        <v>4</v>
      </c>
      <c r="L19" s="9">
        <v>0</v>
      </c>
      <c r="M19" s="9">
        <v>0</v>
      </c>
      <c r="N19" s="29">
        <v>8</v>
      </c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6" ht="36.75" customHeight="1">
      <c r="A20" s="34"/>
      <c r="B20" s="44"/>
      <c r="C20" s="11" t="s">
        <v>41</v>
      </c>
      <c r="D20" s="8" t="s">
        <v>42</v>
      </c>
      <c r="E20" s="9" t="s">
        <v>43</v>
      </c>
      <c r="F20" s="11">
        <v>2</v>
      </c>
      <c r="G20" s="11">
        <v>2</v>
      </c>
      <c r="H20" s="11">
        <v>2</v>
      </c>
      <c r="I20" s="11">
        <v>2</v>
      </c>
      <c r="J20" s="11">
        <v>2</v>
      </c>
      <c r="K20" s="9">
        <v>0</v>
      </c>
      <c r="L20" s="9">
        <v>0</v>
      </c>
      <c r="M20" s="9">
        <v>0</v>
      </c>
      <c r="N20" s="29">
        <v>4</v>
      </c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6" ht="36.75" customHeight="1">
      <c r="A21" s="34"/>
      <c r="B21" s="44"/>
      <c r="C21" s="11" t="s">
        <v>44</v>
      </c>
      <c r="D21" s="8" t="s">
        <v>45</v>
      </c>
      <c r="E21" s="9" t="s">
        <v>43</v>
      </c>
      <c r="F21" s="11">
        <v>3</v>
      </c>
      <c r="G21" s="9">
        <v>3</v>
      </c>
      <c r="H21" s="9">
        <v>3</v>
      </c>
      <c r="I21" s="9">
        <v>3</v>
      </c>
      <c r="J21" s="9">
        <v>3</v>
      </c>
      <c r="K21" s="9">
        <v>0</v>
      </c>
      <c r="L21" s="9">
        <v>0</v>
      </c>
      <c r="M21" s="9">
        <v>0</v>
      </c>
      <c r="N21" s="29">
        <v>4</v>
      </c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6" ht="36.75" customHeight="1">
      <c r="A22" s="34"/>
      <c r="B22" s="44"/>
      <c r="C22" s="11" t="s">
        <v>46</v>
      </c>
      <c r="D22" s="8" t="s">
        <v>47</v>
      </c>
      <c r="E22" s="9" t="s">
        <v>43</v>
      </c>
      <c r="F22" s="11">
        <v>2</v>
      </c>
      <c r="G22" s="9">
        <v>2</v>
      </c>
      <c r="H22" s="9">
        <v>2</v>
      </c>
      <c r="I22" s="9">
        <v>2</v>
      </c>
      <c r="J22" s="9">
        <v>2</v>
      </c>
      <c r="K22" s="9">
        <v>0</v>
      </c>
      <c r="L22" s="9">
        <v>0</v>
      </c>
      <c r="M22" s="9">
        <v>0</v>
      </c>
      <c r="N22" s="29">
        <v>3</v>
      </c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6" ht="36.75" customHeight="1">
      <c r="A23" s="34"/>
      <c r="B23" s="44"/>
      <c r="C23" s="11" t="s">
        <v>48</v>
      </c>
      <c r="D23" s="8" t="s">
        <v>33</v>
      </c>
      <c r="E23" s="11" t="s">
        <v>102</v>
      </c>
      <c r="F23" s="11">
        <v>1</v>
      </c>
      <c r="G23" s="11">
        <v>1</v>
      </c>
      <c r="H23" s="11">
        <v>1</v>
      </c>
      <c r="I23" s="11">
        <v>1</v>
      </c>
      <c r="J23" s="11">
        <v>1</v>
      </c>
      <c r="K23" s="11">
        <v>1</v>
      </c>
      <c r="L23" s="11">
        <v>1</v>
      </c>
      <c r="M23" s="9">
        <v>0</v>
      </c>
      <c r="N23" s="29">
        <v>1</v>
      </c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6" ht="36.75" customHeight="1">
      <c r="A24" s="34"/>
      <c r="B24" s="44"/>
      <c r="C24" s="11" t="s">
        <v>49</v>
      </c>
      <c r="D24" s="8" t="s">
        <v>50</v>
      </c>
      <c r="E24" s="11" t="s">
        <v>101</v>
      </c>
      <c r="F24" s="11">
        <v>1</v>
      </c>
      <c r="G24" s="11">
        <v>1</v>
      </c>
      <c r="H24" s="11">
        <v>1</v>
      </c>
      <c r="I24" s="11">
        <v>1</v>
      </c>
      <c r="J24" s="11">
        <v>1</v>
      </c>
      <c r="K24" s="11">
        <v>1</v>
      </c>
      <c r="L24" s="11">
        <v>1</v>
      </c>
      <c r="M24" s="9">
        <v>0</v>
      </c>
      <c r="N24" s="29">
        <v>1</v>
      </c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6" ht="36.75" customHeight="1">
      <c r="A25" s="34"/>
      <c r="B25" s="44"/>
      <c r="C25" s="11" t="s">
        <v>51</v>
      </c>
      <c r="D25" s="8" t="s">
        <v>54</v>
      </c>
      <c r="E25" s="11" t="s">
        <v>104</v>
      </c>
      <c r="F25" s="11">
        <v>3</v>
      </c>
      <c r="G25" s="11">
        <v>3</v>
      </c>
      <c r="H25" s="11">
        <v>3</v>
      </c>
      <c r="I25" s="11">
        <v>3</v>
      </c>
      <c r="J25" s="11">
        <v>3</v>
      </c>
      <c r="K25" s="11">
        <v>3</v>
      </c>
      <c r="L25" s="11">
        <v>3</v>
      </c>
      <c r="M25" s="9">
        <v>0</v>
      </c>
      <c r="N25" s="29">
        <v>3</v>
      </c>
      <c r="O25" s="1"/>
      <c r="P25" s="21"/>
      <c r="Q25" s="22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36.75" customHeight="1">
      <c r="A26" s="34"/>
      <c r="B26" s="44"/>
      <c r="C26" s="11" t="s">
        <v>53</v>
      </c>
      <c r="D26" s="8" t="s">
        <v>56</v>
      </c>
      <c r="E26" s="11" t="s">
        <v>104</v>
      </c>
      <c r="F26" s="11">
        <v>5</v>
      </c>
      <c r="G26" s="11">
        <v>5</v>
      </c>
      <c r="H26" s="11">
        <v>5</v>
      </c>
      <c r="I26" s="11">
        <v>5</v>
      </c>
      <c r="J26" s="11">
        <v>5</v>
      </c>
      <c r="K26" s="11">
        <v>5</v>
      </c>
      <c r="L26" s="11">
        <v>5</v>
      </c>
      <c r="M26" s="9">
        <v>0</v>
      </c>
      <c r="N26" s="29">
        <v>4</v>
      </c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6" ht="36.75" customHeight="1" thickBot="1">
      <c r="A27" s="34"/>
      <c r="B27" s="45"/>
      <c r="C27" s="31" t="s">
        <v>55</v>
      </c>
      <c r="D27" s="42" t="s">
        <v>58</v>
      </c>
      <c r="E27" s="31" t="s">
        <v>104</v>
      </c>
      <c r="F27" s="31">
        <v>2</v>
      </c>
      <c r="G27" s="46">
        <v>2</v>
      </c>
      <c r="H27" s="46">
        <v>2</v>
      </c>
      <c r="I27" s="46">
        <v>2</v>
      </c>
      <c r="J27" s="46">
        <v>2</v>
      </c>
      <c r="K27" s="46">
        <v>2</v>
      </c>
      <c r="L27" s="46">
        <v>2</v>
      </c>
      <c r="M27" s="46">
        <v>0</v>
      </c>
      <c r="N27" s="33">
        <v>2</v>
      </c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6" ht="36.75" customHeight="1">
      <c r="A28" s="34"/>
      <c r="B28" s="43" t="s">
        <v>59</v>
      </c>
      <c r="C28" s="38" t="s">
        <v>57</v>
      </c>
      <c r="D28" s="39" t="s">
        <v>61</v>
      </c>
      <c r="E28" s="38" t="s">
        <v>62</v>
      </c>
      <c r="F28" s="38">
        <v>2</v>
      </c>
      <c r="G28" s="38">
        <v>2</v>
      </c>
      <c r="H28" s="38">
        <v>2</v>
      </c>
      <c r="I28" s="38">
        <v>2</v>
      </c>
      <c r="J28" s="40">
        <v>0</v>
      </c>
      <c r="K28" s="40">
        <v>0</v>
      </c>
      <c r="L28" s="40">
        <v>0</v>
      </c>
      <c r="M28" s="40">
        <v>0</v>
      </c>
      <c r="N28" s="41">
        <v>1</v>
      </c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6" ht="36.75" customHeight="1">
      <c r="A29" s="34"/>
      <c r="B29" s="44"/>
      <c r="C29" s="11" t="s">
        <v>60</v>
      </c>
      <c r="D29" s="10" t="s">
        <v>64</v>
      </c>
      <c r="E29" s="11" t="s">
        <v>62</v>
      </c>
      <c r="F29" s="11">
        <v>2</v>
      </c>
      <c r="G29" s="11">
        <v>2</v>
      </c>
      <c r="H29" s="11">
        <v>2</v>
      </c>
      <c r="I29" s="11">
        <v>2</v>
      </c>
      <c r="J29" s="9">
        <v>0</v>
      </c>
      <c r="K29" s="9">
        <v>0</v>
      </c>
      <c r="L29" s="9">
        <v>0</v>
      </c>
      <c r="M29" s="9">
        <v>0</v>
      </c>
      <c r="N29" s="29">
        <v>1</v>
      </c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6" ht="36.75" customHeight="1">
      <c r="A30" s="34"/>
      <c r="B30" s="44"/>
      <c r="C30" s="11" t="s">
        <v>63</v>
      </c>
      <c r="D30" s="10" t="s">
        <v>66</v>
      </c>
      <c r="E30" s="20" t="s">
        <v>105</v>
      </c>
      <c r="F30" s="9">
        <v>2</v>
      </c>
      <c r="G30" s="9">
        <v>2</v>
      </c>
      <c r="H30" s="9">
        <v>2</v>
      </c>
      <c r="I30" s="9">
        <v>2</v>
      </c>
      <c r="J30" s="9">
        <v>0</v>
      </c>
      <c r="K30" s="9">
        <v>0</v>
      </c>
      <c r="L30" s="9">
        <v>0</v>
      </c>
      <c r="M30" s="9">
        <v>0</v>
      </c>
      <c r="N30" s="29">
        <v>2</v>
      </c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6" ht="36.75" customHeight="1">
      <c r="A31" s="34"/>
      <c r="B31" s="44"/>
      <c r="C31" s="11" t="s">
        <v>65</v>
      </c>
      <c r="D31" s="8" t="s">
        <v>33</v>
      </c>
      <c r="E31" s="11" t="s">
        <v>102</v>
      </c>
      <c r="F31" s="9">
        <v>1</v>
      </c>
      <c r="G31" s="9">
        <v>1</v>
      </c>
      <c r="H31" s="9">
        <v>1</v>
      </c>
      <c r="I31" s="9">
        <v>1</v>
      </c>
      <c r="J31" s="9">
        <v>1</v>
      </c>
      <c r="K31" s="9">
        <v>1</v>
      </c>
      <c r="L31" s="9">
        <v>1</v>
      </c>
      <c r="M31" s="9">
        <v>0</v>
      </c>
      <c r="N31" s="29">
        <v>1</v>
      </c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6" ht="36.75" customHeight="1">
      <c r="A32" s="34"/>
      <c r="B32" s="44"/>
      <c r="C32" s="11" t="s">
        <v>67</v>
      </c>
      <c r="D32" s="8" t="s">
        <v>50</v>
      </c>
      <c r="E32" s="11" t="s">
        <v>104</v>
      </c>
      <c r="F32" s="9">
        <v>1</v>
      </c>
      <c r="G32" s="9">
        <v>1</v>
      </c>
      <c r="H32" s="9">
        <v>1</v>
      </c>
      <c r="I32" s="9">
        <v>1</v>
      </c>
      <c r="J32" s="9">
        <v>1</v>
      </c>
      <c r="K32" s="9">
        <v>1</v>
      </c>
      <c r="L32" s="9">
        <v>1</v>
      </c>
      <c r="M32" s="9">
        <v>0</v>
      </c>
      <c r="N32" s="29">
        <v>1</v>
      </c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36.75" customHeight="1">
      <c r="A33" s="34"/>
      <c r="B33" s="44"/>
      <c r="C33" s="11" t="s">
        <v>68</v>
      </c>
      <c r="D33" s="8" t="s">
        <v>52</v>
      </c>
      <c r="E33" s="11" t="s">
        <v>104</v>
      </c>
      <c r="F33" s="11">
        <v>1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29">
        <v>1</v>
      </c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36.75" customHeight="1">
      <c r="A34" s="34"/>
      <c r="B34" s="44"/>
      <c r="C34" s="11" t="s">
        <v>69</v>
      </c>
      <c r="D34" s="8" t="s">
        <v>54</v>
      </c>
      <c r="E34" s="11" t="s">
        <v>104</v>
      </c>
      <c r="F34" s="11">
        <v>1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29">
        <v>1</v>
      </c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36.75" customHeight="1">
      <c r="A35" s="34"/>
      <c r="B35" s="44"/>
      <c r="C35" s="11" t="s">
        <v>70</v>
      </c>
      <c r="D35" s="8" t="s">
        <v>56</v>
      </c>
      <c r="E35" s="11" t="s">
        <v>104</v>
      </c>
      <c r="F35" s="11">
        <v>1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9">
        <v>0</v>
      </c>
      <c r="M35" s="11">
        <v>0</v>
      </c>
      <c r="N35" s="29">
        <v>5</v>
      </c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36.75" customHeight="1" thickBot="1">
      <c r="A36" s="34"/>
      <c r="B36" s="45"/>
      <c r="C36" s="31" t="s">
        <v>71</v>
      </c>
      <c r="D36" s="42" t="s">
        <v>58</v>
      </c>
      <c r="E36" s="31" t="s">
        <v>104</v>
      </c>
      <c r="F36" s="31">
        <v>1</v>
      </c>
      <c r="G36" s="31">
        <v>0</v>
      </c>
      <c r="H36" s="31">
        <v>0</v>
      </c>
      <c r="I36" s="31">
        <v>0</v>
      </c>
      <c r="J36" s="31">
        <v>0</v>
      </c>
      <c r="K36" s="31">
        <v>0</v>
      </c>
      <c r="L36" s="31">
        <v>0</v>
      </c>
      <c r="M36" s="31">
        <v>0</v>
      </c>
      <c r="N36" s="33">
        <v>1</v>
      </c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36.75" customHeight="1">
      <c r="A37" s="34"/>
      <c r="B37" s="37"/>
      <c r="C37" s="38" t="s">
        <v>72</v>
      </c>
      <c r="D37" s="62" t="s">
        <v>74</v>
      </c>
      <c r="E37" s="38" t="s">
        <v>108</v>
      </c>
      <c r="F37" s="38">
        <v>2</v>
      </c>
      <c r="G37" s="38">
        <v>2</v>
      </c>
      <c r="H37" s="38">
        <v>0</v>
      </c>
      <c r="I37" s="38">
        <v>0</v>
      </c>
      <c r="J37" s="38">
        <v>0</v>
      </c>
      <c r="K37" s="38">
        <v>0</v>
      </c>
      <c r="L37" s="38">
        <v>0</v>
      </c>
      <c r="M37" s="38">
        <v>0</v>
      </c>
      <c r="N37" s="41">
        <v>1</v>
      </c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36.75" customHeight="1">
      <c r="A38" s="34"/>
      <c r="B38" s="28"/>
      <c r="C38" s="11" t="s">
        <v>73</v>
      </c>
      <c r="D38" s="8" t="s">
        <v>0</v>
      </c>
      <c r="E38" s="11" t="s">
        <v>108</v>
      </c>
      <c r="F38" s="11">
        <v>2</v>
      </c>
      <c r="G38" s="11">
        <v>2</v>
      </c>
      <c r="H38" s="11">
        <v>2</v>
      </c>
      <c r="I38" s="11">
        <v>2</v>
      </c>
      <c r="J38" s="11">
        <v>2</v>
      </c>
      <c r="K38" s="11">
        <v>2</v>
      </c>
      <c r="L38" s="11">
        <v>2</v>
      </c>
      <c r="M38" s="11">
        <v>0</v>
      </c>
      <c r="N38" s="29">
        <v>1</v>
      </c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36.75" customHeight="1" thickBot="1">
      <c r="A39" s="47"/>
      <c r="B39" s="30"/>
      <c r="C39" s="31" t="s">
        <v>75</v>
      </c>
      <c r="D39" s="42" t="s">
        <v>76</v>
      </c>
      <c r="E39" s="31" t="s">
        <v>102</v>
      </c>
      <c r="F39" s="31">
        <v>3</v>
      </c>
      <c r="G39" s="31">
        <v>3</v>
      </c>
      <c r="H39" s="31">
        <v>3</v>
      </c>
      <c r="I39" s="31">
        <v>3</v>
      </c>
      <c r="J39" s="31">
        <v>3</v>
      </c>
      <c r="K39" s="31">
        <v>3</v>
      </c>
      <c r="L39" s="31">
        <v>3</v>
      </c>
      <c r="M39" s="31">
        <v>0</v>
      </c>
      <c r="N39" s="33">
        <v>2</v>
      </c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22.5" customHeight="1" thickBot="1">
      <c r="A40" s="48" t="s">
        <v>109</v>
      </c>
      <c r="B40" s="49"/>
      <c r="C40" s="49"/>
      <c r="D40" s="50"/>
      <c r="E40" s="22"/>
      <c r="F40" s="51">
        <f>SUM(F4:F39)</f>
        <v>85</v>
      </c>
      <c r="G40" s="20"/>
      <c r="H40" s="20"/>
      <c r="I40" s="20"/>
      <c r="J40" s="20"/>
      <c r="K40" s="20"/>
      <c r="L40" s="20"/>
      <c r="M40" s="20"/>
      <c r="N40" s="51">
        <f>SUM(N4:N39)</f>
        <v>99</v>
      </c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22.5" customHeight="1" thickBot="1">
      <c r="A41" s="14"/>
      <c r="B41" s="14"/>
      <c r="C41" s="13"/>
      <c r="D41" s="15"/>
      <c r="E41" s="16"/>
      <c r="F41" s="13"/>
      <c r="G41" s="13"/>
      <c r="H41" s="13"/>
      <c r="I41" s="13"/>
      <c r="J41" s="13"/>
      <c r="K41" s="13"/>
      <c r="L41" s="13"/>
      <c r="M41" s="13"/>
      <c r="N41" s="13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22.5" customHeight="1">
      <c r="A42" s="52" t="s">
        <v>77</v>
      </c>
      <c r="B42" s="53"/>
      <c r="C42" s="53"/>
      <c r="D42" s="26"/>
      <c r="E42" s="16"/>
      <c r="F42" s="13"/>
      <c r="G42" s="13"/>
      <c r="H42" s="13"/>
      <c r="I42" s="13"/>
      <c r="J42" s="13"/>
      <c r="K42" s="13"/>
      <c r="L42" s="13"/>
      <c r="M42" s="13"/>
      <c r="N42" s="13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22.5" customHeight="1">
      <c r="A43" s="54" t="s">
        <v>78</v>
      </c>
      <c r="B43" s="11" t="s">
        <v>79</v>
      </c>
      <c r="C43" s="11" t="s">
        <v>80</v>
      </c>
      <c r="D43" s="29" t="s">
        <v>81</v>
      </c>
      <c r="E43" s="16"/>
      <c r="F43" s="13"/>
      <c r="G43" s="13"/>
      <c r="H43" s="13"/>
      <c r="I43" s="13"/>
      <c r="J43" s="13"/>
      <c r="K43" s="13"/>
      <c r="L43" s="13"/>
      <c r="M43" s="13"/>
      <c r="N43" s="13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22.5" customHeight="1">
      <c r="A44" s="54">
        <v>1</v>
      </c>
      <c r="B44" s="17" t="s">
        <v>82</v>
      </c>
      <c r="C44" s="18" t="s">
        <v>83</v>
      </c>
      <c r="D44" s="55" t="s">
        <v>84</v>
      </c>
      <c r="E44" s="16"/>
      <c r="F44" s="13"/>
      <c r="G44" s="13"/>
      <c r="H44" s="13"/>
      <c r="I44" s="13"/>
      <c r="J44" s="13"/>
      <c r="K44" s="13"/>
      <c r="L44" s="13"/>
      <c r="M44" s="13"/>
      <c r="N44" s="13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22.5" customHeight="1">
      <c r="A45" s="54">
        <v>2</v>
      </c>
      <c r="B45" s="17" t="s">
        <v>85</v>
      </c>
      <c r="C45" s="17" t="s">
        <v>86</v>
      </c>
      <c r="D45" s="56" t="s">
        <v>87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22.5" customHeight="1">
      <c r="A46" s="54">
        <v>3</v>
      </c>
      <c r="B46" s="17" t="s">
        <v>88</v>
      </c>
      <c r="C46" s="17" t="s">
        <v>89</v>
      </c>
      <c r="D46" s="56" t="s">
        <v>100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22.5" customHeight="1">
      <c r="A47" s="54">
        <v>4</v>
      </c>
      <c r="B47" s="17" t="s">
        <v>90</v>
      </c>
      <c r="C47" s="17" t="s">
        <v>91</v>
      </c>
      <c r="D47" s="56" t="s">
        <v>92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22.5" customHeight="1">
      <c r="A48" s="54">
        <v>5</v>
      </c>
      <c r="B48" s="17" t="s">
        <v>93</v>
      </c>
      <c r="C48" s="17" t="s">
        <v>94</v>
      </c>
      <c r="D48" s="56" t="s">
        <v>95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22.5" customHeight="1" thickBot="1">
      <c r="A49" s="57">
        <v>6</v>
      </c>
      <c r="B49" s="32" t="s">
        <v>96</v>
      </c>
      <c r="C49" s="32" t="s">
        <v>97</v>
      </c>
      <c r="D49" s="58" t="s">
        <v>98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"/>
      <c r="P49" s="1"/>
      <c r="Q49" s="1"/>
      <c r="R49" s="1"/>
      <c r="S49" s="1"/>
      <c r="T49" s="1"/>
      <c r="U49" s="1"/>
      <c r="V49" s="1"/>
      <c r="W49" s="1"/>
      <c r="X49" s="1"/>
    </row>
  </sheetData>
  <mergeCells count="17">
    <mergeCell ref="R3:X3"/>
    <mergeCell ref="B4:B16"/>
    <mergeCell ref="B37:B39"/>
    <mergeCell ref="A4:A39"/>
    <mergeCell ref="B17:B27"/>
    <mergeCell ref="B28:B36"/>
    <mergeCell ref="A40:D40"/>
    <mergeCell ref="A42:D42"/>
    <mergeCell ref="A1:N1"/>
    <mergeCell ref="A2:A3"/>
    <mergeCell ref="B2:B3"/>
    <mergeCell ref="C2:C3"/>
    <mergeCell ref="D2:D3"/>
    <mergeCell ref="E2:E3"/>
    <mergeCell ref="F2:F3"/>
    <mergeCell ref="G2:M2"/>
    <mergeCell ref="N2:N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Tawan Uttaman</dc:creator>
  <cp:lastModifiedBy>Sittiphat Tanphibool</cp:lastModifiedBy>
  <dcterms:created xsi:type="dcterms:W3CDTF">2026-03-17T13:45:35Z</dcterms:created>
  <dcterms:modified xsi:type="dcterms:W3CDTF">2026-03-17T14:50:56Z</dcterms:modified>
</cp:coreProperties>
</file>